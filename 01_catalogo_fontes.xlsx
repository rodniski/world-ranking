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3"/>
    <sheet name="Resumo" sheetId="2" state="visible" r:id="rId4"/>
    <sheet name="Legenda" sheetId="3" state="visible" r:id="rId5"/>
  </sheets>
  <definedNames>
    <definedName function="false" hidden="true" localSheetId="0" name="_xlnm._FilterDatabase" vbProcedure="false">Catalogo!$A$1:$O$34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<sst xmlns="http://schemas.openxmlformats.org/spreadsheetml/2006/main" count="540" uniqueCount="377">
  <si>
    <t xml:space="preserve">ID</t>
  </si>
  <si>
    <t xml:space="preserve">Fonte</t>
  </si>
  <si>
    <t xml:space="preserve">Instituição</t>
  </si>
  <si>
    <t xml:space="preserve">Dimensão</t>
  </si>
  <si>
    <t xml:space="preserve">Cobertura (países)</t>
  </si>
  <si>
    <t xml:space="preserve">Última atualização</t>
  </si>
  <si>
    <t xml:space="preserve">Periodicidade</t>
  </si>
  <si>
    <t xml:space="preserve">Formato bruto</t>
  </si>
  <si>
    <t xml:space="preserve">Tem API/CSV aberto?</t>
  </si>
  <si>
    <t xml:space="preserve">Licença / uso</t>
  </si>
  <si>
    <t xml:space="preserve">Dificuldade de coleta</t>
  </si>
  <si>
    <t xml:space="preserve">Prioridade</t>
  </si>
  <si>
    <t xml:space="preserve">Indicadores-chave</t>
  </si>
  <si>
    <t xml:space="preserve">URL</t>
  </si>
  <si>
    <t xml:space="preserve">Observação</t>
  </si>
  <si>
    <t xml:space="preserve">GII-2025</t>
  </si>
  <si>
    <t xml:space="preserve">Global Innovation Index 2025</t>
  </si>
  <si>
    <t xml:space="preserve">WIPO</t>
  </si>
  <si>
    <t xml:space="preserve">META</t>
  </si>
  <si>
    <t xml:space="preserve">133 economias</t>
  </si>
  <si>
    <t xml:space="preserve">2025-09</t>
  </si>
  <si>
    <t xml:space="preserve">Anual</t>
  </si>
  <si>
    <t xml:space="preserve">Tabela HTML (web publication)</t>
  </si>
  <si>
    <t xml:space="preserve">Sim (HTML)</t>
  </si>
  <si>
    <t xml:space="preserve">Aberto / atribuição</t>
  </si>
  <si>
    <t xml:space="preserve">Fácil</t>
  </si>
  <si>
    <t xml:space="preserve">Alta</t>
  </si>
  <si>
    <t xml:space="preserve">GII score; Sub-pillars: Institutions, Human capital, Infrastructure, Market, Business, Knowledge, Creative</t>
  </si>
  <si>
    <t xml:space="preserve">https://www.wipo.int/web-publications/global-innovation-index-2025/en/gii-2025-results.html</t>
  </si>
  <si>
    <t xml:space="preserve">Coletar via pandas.read_html da página de results — sem PDF parsing. URL confirmada pelo usuário.</t>
  </si>
  <si>
    <t xml:space="preserve">IEF-2026</t>
  </si>
  <si>
    <t xml:space="preserve">Index of Economic Freedom 2026</t>
  </si>
  <si>
    <t xml:space="preserve">Heritage Foundation</t>
  </si>
  <si>
    <t xml:space="preserve">META + MACRO</t>
  </si>
  <si>
    <t xml:space="preserve">184 países</t>
  </si>
  <si>
    <t xml:space="preserve">2026-03</t>
  </si>
  <si>
    <t xml:space="preserve">Tabela HTML (all-country-scores)</t>
  </si>
  <si>
    <t xml:space="preserve">Overall score; Rule of Law, Government Size, Regulatory Efficiency, Open Markets</t>
  </si>
  <si>
    <t xml:space="preserve">https://economicfreedom.heritage.org/pages/all-country-scores</t>
  </si>
  <si>
    <t xml:space="preserve">Coletar via pandas.read_html / scraping leve da página de scores — sem PDF. URL confirmada pelo usuário. Viés ideológico (libertário): tratar como UMA fonte, não verdade.</t>
  </si>
  <si>
    <t xml:space="preserve">HDI-2025</t>
  </si>
  <si>
    <t xml:space="preserve">Human Development Index 2025</t>
  </si>
  <si>
    <t xml:space="preserve">UNDP</t>
  </si>
  <si>
    <t xml:space="preserve">193 países</t>
  </si>
  <si>
    <t xml:space="preserve">2025-05</t>
  </si>
  <si>
    <t xml:space="preserve">Excel + CSV abertos</t>
  </si>
  <si>
    <t xml:space="preserve">Sim (CSV oficial)</t>
  </si>
  <si>
    <t xml:space="preserve">CC BY</t>
  </si>
  <si>
    <t xml:space="preserve">HDI; Life expectancy, Education, GNI per capita PPP</t>
  </si>
  <si>
    <t xml:space="preserve">https://hdr.undp.org/data-center</t>
  </si>
  <si>
    <t xml:space="preserve">Padrão-ouro pra desenvolvimento humano. Cobertura quase universal.</t>
  </si>
  <si>
    <t xml:space="preserve">WHR-2025</t>
  </si>
  <si>
    <t xml:space="preserve">World Happiness Report 2025</t>
  </si>
  <si>
    <t xml:space="preserve">Wellbeing Research Centre / Oxford</t>
  </si>
  <si>
    <t xml:space="preserve">~140 países</t>
  </si>
  <si>
    <t xml:space="preserve">2025-03</t>
  </si>
  <si>
    <t xml:space="preserve">Excel/CSV</t>
  </si>
  <si>
    <t xml:space="preserve">Sim</t>
  </si>
  <si>
    <t xml:space="preserve">Média</t>
  </si>
  <si>
    <t xml:space="preserve">Cantril ladder; GDP, Social support, Healthy life, Freedom, Generosity, Corruption</t>
  </si>
  <si>
    <t xml:space="preserve">https://worldhappiness.report/data-sharing/</t>
  </si>
  <si>
    <t xml:space="preserve">Boa pra cruzar com qualidade de vida subjetiva.</t>
  </si>
  <si>
    <t xml:space="preserve">BLI</t>
  </si>
  <si>
    <t xml:space="preserve">OECD Better Life Index</t>
  </si>
  <si>
    <t xml:space="preserve">OECD</t>
  </si>
  <si>
    <t xml:space="preserve">41 países (OECD + parceiros)</t>
  </si>
  <si>
    <t xml:space="preserve">2024-11</t>
  </si>
  <si>
    <t xml:space="preserve">CSV via OECD.Stat</t>
  </si>
  <si>
    <t xml:space="preserve">Sim (API)</t>
  </si>
  <si>
    <t xml:space="preserve">OECD terms</t>
  </si>
  <si>
    <t xml:space="preserve">11 dimensões: housing, income, jobs, community, education, environment, civic, health, life satisfaction, safety, work-life balance</t>
  </si>
  <si>
    <t xml:space="preserve">https://www.oecdbetterlifeindex.org/</t>
  </si>
  <si>
    <t xml:space="preserve">Cobre só países OECD — limita ranking global mas é rico onde cobre.</t>
  </si>
  <si>
    <t xml:space="preserve">SO-DEV-2024</t>
  </si>
  <si>
    <t xml:space="preserve">Stack Overflow Developer Survey 2024</t>
  </si>
  <si>
    <t xml:space="preserve">Stack Overflow</t>
  </si>
  <si>
    <t xml:space="preserve">TECH</t>
  </si>
  <si>
    <t xml:space="preserve">~180 países (long tail rala)</t>
  </si>
  <si>
    <t xml:space="preserve">2024-07</t>
  </si>
  <si>
    <t xml:space="preserve">CSV público</t>
  </si>
  <si>
    <t xml:space="preserve">Sim (CSV)</t>
  </si>
  <si>
    <t xml:space="preserve">ODbL</t>
  </si>
  <si>
    <t xml:space="preserve">Médio</t>
  </si>
  <si>
    <t xml:space="preserve">Salário mediano por país (USD); tech stack popularity; remote-work share</t>
  </si>
  <si>
    <t xml:space="preserve">https://survey.stackoverflow.co/</t>
  </si>
  <si>
    <t xml:space="preserve">N por país varia muito. Filtrar por país com N &gt;= 100 antes de ranquear.</t>
  </si>
  <si>
    <t xml:space="preserve">GTCI-2023</t>
  </si>
  <si>
    <t xml:space="preserve">Global Talent Competitiveness Index</t>
  </si>
  <si>
    <t xml:space="preserve">INSEAD / Portulans</t>
  </si>
  <si>
    <t xml:space="preserve">TECH + VISA</t>
  </si>
  <si>
    <t xml:space="preserve">134 países</t>
  </si>
  <si>
    <t xml:space="preserve">2023-11</t>
  </si>
  <si>
    <t xml:space="preserve">Bienal/Anual (atrasado)</t>
  </si>
  <si>
    <t xml:space="preserve">PDF + Excel</t>
  </si>
  <si>
    <t xml:space="preserve">Sim (Excel oficial)</t>
  </si>
  <si>
    <t xml:space="preserve">GTCI score; Enable, Attract, Grow, Retain, Vocational/technical skills, Global Knowledge skills</t>
  </si>
  <si>
    <t xml:space="preserve">https://www.insead.edu/global-indices/gtci</t>
  </si>
  <si>
    <t xml:space="preserve">Ed. 2024 atrasada — usar 2023 enquanto isso.</t>
  </si>
  <si>
    <t xml:space="preserve">IMD-WTR-2025</t>
  </si>
  <si>
    <t xml:space="preserve">World Talent Ranking 2025</t>
  </si>
  <si>
    <t xml:space="preserve">IMD Business School</t>
  </si>
  <si>
    <t xml:space="preserve">67 economias</t>
  </si>
  <si>
    <t xml:space="preserve">PDF + Excel para assinantes</t>
  </si>
  <si>
    <t xml:space="preserve">Não (paywall pra dataset completo, ranking público)</t>
  </si>
  <si>
    <t xml:space="preserve">Comercial</t>
  </si>
  <si>
    <t xml:space="preserve">Difícil</t>
  </si>
  <si>
    <t xml:space="preserve">Investment &amp; development, Appeal, Readiness</t>
  </si>
  <si>
    <t xml:space="preserve">https://www.imd.org/centers/wcc/world-competitiveness-center/rankings/world-talent-ranking/</t>
  </si>
  <si>
    <t xml:space="preserve">Ranking aberto é suficiente. Pular se for caro extrair.</t>
  </si>
  <si>
    <t xml:space="preserve">LEVELS-FYI</t>
  </si>
  <si>
    <t xml:space="preserve">Levels.fyi compensation data</t>
  </si>
  <si>
    <t xml:space="preserve">Levels.fyi</t>
  </si>
  <si>
    <t xml:space="preserve">~30 países com dado denso</t>
  </si>
  <si>
    <t xml:space="preserve">Contínuo (live)</t>
  </si>
  <si>
    <t xml:space="preserve">Contínuo</t>
  </si>
  <si>
    <t xml:space="preserve">Site (sem API oficial)</t>
  </si>
  <si>
    <t xml:space="preserve">Não (scraping ou export manual)</t>
  </si>
  <si>
    <t xml:space="preserve">ToS restritivo</t>
  </si>
  <si>
    <t xml:space="preserve">Mediana de TC por nível (P3-P6) por país/cidade, foco em big tech</t>
  </si>
  <si>
    <t xml:space="preserve">https://www.levels.fyi/</t>
  </si>
  <si>
    <t xml:space="preserve">Melhor dado de compensação real, mas legal/ético pra scrapar é cinza. Considerar export manual da página por país.</t>
  </si>
  <si>
    <t xml:space="preserve">GCI-2024</t>
  </si>
  <si>
    <t xml:space="preserve">Global Cybersecurity Index 2024</t>
  </si>
  <si>
    <t xml:space="preserve">ITU</t>
  </si>
  <si>
    <t xml:space="preserve">TECH + MACRO</t>
  </si>
  <si>
    <t xml:space="preserve">194 países</t>
  </si>
  <si>
    <t xml:space="preserve">2024-09</t>
  </si>
  <si>
    <t xml:space="preserve">Bienal</t>
  </si>
  <si>
    <t xml:space="preserve">Baixa</t>
  </si>
  <si>
    <t xml:space="preserve">GCI overall; Legal, Technical, Organisational, Capacity, Cooperation</t>
  </si>
  <si>
    <t xml:space="preserve">https://www.itu.int/epublications/publication/global-cybersecurity-index-2024/</t>
  </si>
  <si>
    <t xml:space="preserve">Útil só se você prioriza segurança de SI. Senão, pular.</t>
  </si>
  <si>
    <t xml:space="preserve">HENLEY-2026</t>
  </si>
  <si>
    <t xml:space="preserve">Henley Passport Index 2026</t>
  </si>
  <si>
    <t xml:space="preserve">Henley &amp; Partners</t>
  </si>
  <si>
    <t xml:space="preserve">VISA</t>
  </si>
  <si>
    <t xml:space="preserve">199 passaportes</t>
  </si>
  <si>
    <t xml:space="preserve">2026-01</t>
  </si>
  <si>
    <t xml:space="preserve">Trimestral</t>
  </si>
  <si>
    <t xml:space="preserve">Tabela web + PDF</t>
  </si>
  <si>
    <t xml:space="preserve">Não (sem CSV oficial)</t>
  </si>
  <si>
    <t xml:space="preserve">Comercial / atribuição</t>
  </si>
  <si>
    <t xml:space="preserve">Visa-free/visa-on-arrival score do passaporte BR e dos destinos</t>
  </si>
  <si>
    <t xml:space="preserve">https://www.henleyglobal.com/passport-index</t>
  </si>
  <si>
    <t xml:space="preserve">Importante pra calcular ganho de mobilidade pós-naturalização (BR vs. DE, PT, etc.).</t>
  </si>
  <si>
    <t xml:space="preserve">OECD-MIG</t>
  </si>
  <si>
    <t xml:space="preserve">International Migration Outlook 2024</t>
  </si>
  <si>
    <t xml:space="preserve">VISA + MACRO</t>
  </si>
  <si>
    <t xml:space="preserve">38 países OECD + parceiros</t>
  </si>
  <si>
    <t xml:space="preserve">PDF + dataset OECD.Stat</t>
  </si>
  <si>
    <t xml:space="preserve">Inflows, top origin countries, labour migration share, naturalisation rates</t>
  </si>
  <si>
    <t xml:space="preserve">https://www.oecd.org/migration/international-migration-outlook/</t>
  </si>
  <si>
    <t xml:space="preserve">Bom pra ver onde brasileiros já estão indo (sinal de feasibility).</t>
  </si>
  <si>
    <t xml:space="preserve">EU-BLUECARD</t>
  </si>
  <si>
    <t xml:space="preserve">EU Blue Card requirements (per country)</t>
  </si>
  <si>
    <t xml:space="preserve">European Commission / national portals</t>
  </si>
  <si>
    <t xml:space="preserve">27 EU members</t>
  </si>
  <si>
    <t xml:space="preserve">2024-12</t>
  </si>
  <si>
    <t xml:space="preserve">Conforme reformas</t>
  </si>
  <si>
    <t xml:space="preserve">HTML por país</t>
  </si>
  <si>
    <t xml:space="preserve">Não (precisa scraping)</t>
  </si>
  <si>
    <t xml:space="preserve">Sites oficiais</t>
  </si>
  <si>
    <t xml:space="preserve">Salary threshold, length of work experience, processing time, family rights, EU mobility after 12mo</t>
  </si>
  <si>
    <t xml:space="preserve">https://immigration-portal.ec.europa.eu/eu-blue-card_en</t>
  </si>
  <si>
    <t xml:space="preserve">Threshold de salário muda por país e por ano. Coletar manualmente os 5-7 mais relevantes pra SWE BR.</t>
  </si>
  <si>
    <t xml:space="preserve">NATIONAL-VISAS</t>
  </si>
  <si>
    <t xml:space="preserve">Tech-friendly visas (national programmes)</t>
  </si>
  <si>
    <t xml:space="preserve">Vários portais oficiais</t>
  </si>
  <si>
    <t xml:space="preserve">~20 países alvo</t>
  </si>
  <si>
    <t xml:space="preserve">Variável</t>
  </si>
  <si>
    <t xml:space="preserve">Não</t>
  </si>
  <si>
    <t xml:space="preserve">Portugal D8, Spain Digital Nomad, Germany Chancenkarte, Netherlands HSM, UK Skilled Worker, Canada Express Entry, Australia 189/482, NZ AEWV, Estonia Digital Nomad, etc.</t>
  </si>
  <si>
    <t xml:space="preserve">Vários</t>
  </si>
  <si>
    <t xml:space="preserve">Curadoria manual. Codificar em colunas binárias: tem visto remoto? threshold salarial? caminho pra residência permanente em &lt;5y? cidadania em &lt;10y?</t>
  </si>
  <si>
    <t xml:space="preserve">NUMBEO</t>
  </si>
  <si>
    <t xml:space="preserve">Numbeo Cost of Living Index 2026</t>
  </si>
  <si>
    <t xml:space="preserve">Numbeo</t>
  </si>
  <si>
    <t xml:space="preserve">PPP</t>
  </si>
  <si>
    <t xml:space="preserve">139 países (com dado denso)</t>
  </si>
  <si>
    <t xml:space="preserve">2026 (auto-refresh)</t>
  </si>
  <si>
    <t xml:space="preserve">Tabelas web + CSV</t>
  </si>
  <si>
    <t xml:space="preserve">Sim (export manual ou API paga)</t>
  </si>
  <si>
    <t xml:space="preserve">Comercial / academic OK</t>
  </si>
  <si>
    <t xml:space="preserve">Cost of Living Index, Rent Index, Groceries, Local Purchasing Power Index</t>
  </si>
  <si>
    <t xml:space="preserve">https://www.numbeo.com/cost-of-living/rankings_by_country.jsp</t>
  </si>
  <si>
    <t xml:space="preserve">Auto-reportado, viés. Cruzar com Mercer ou Eurostat onde possível.</t>
  </si>
  <si>
    <t xml:space="preserve">MERCER-COL-2025</t>
  </si>
  <si>
    <t xml:space="preserve">Mercer Cost of Living Survey 2025</t>
  </si>
  <si>
    <t xml:space="preserve">Mercer</t>
  </si>
  <si>
    <t xml:space="preserve">226 cidades (não countries)</t>
  </si>
  <si>
    <t xml:space="preserve">2025-06</t>
  </si>
  <si>
    <t xml:space="preserve">Press release + tabela parcial</t>
  </si>
  <si>
    <t xml:space="preserve">Não (paywall)</t>
  </si>
  <si>
    <t xml:space="preserve">Ranking de cidades; só top 10 público</t>
  </si>
  <si>
    <t xml:space="preserve">https://www.mercer.com/insights/total-rewards/talent-mobility-insights/cost-of-living/</t>
  </si>
  <si>
    <t xml:space="preserve">Top 10 público é pouco pra ranking global. Pular ou usar só pra sanity check.</t>
  </si>
  <si>
    <t xml:space="preserve">WB-PPP</t>
  </si>
  <si>
    <t xml:space="preserve">World Bank PPP &amp; GNI per capita</t>
  </si>
  <si>
    <t xml:space="preserve">World Bank</t>
  </si>
  <si>
    <t xml:space="preserve">PPP + MACRO</t>
  </si>
  <si>
    <t xml:space="preserve">200+ países</t>
  </si>
  <si>
    <t xml:space="preserve">2024 (revisões trimestrais)</t>
  </si>
  <si>
    <t xml:space="preserve">API + CSV</t>
  </si>
  <si>
    <t xml:space="preserve">GNI per capita PPP (current intl $); GDP per capita PPP</t>
  </si>
  <si>
    <t xml:space="preserve">https://data.worldbank.org/indicator/NY.GNP.PCAP.PP.CD</t>
  </si>
  <si>
    <t xml:space="preserve">Padrão-ouro pra ajustar salário nominal. API estável.</t>
  </si>
  <si>
    <t xml:space="preserve">OECD-TAXING-WAGES</t>
  </si>
  <si>
    <t xml:space="preserve">Taxing Wages 2024</t>
  </si>
  <si>
    <t xml:space="preserve">38 países OECD</t>
  </si>
  <si>
    <t xml:space="preserve">2024-04</t>
  </si>
  <si>
    <t xml:space="preserve">Tax wedge para single sem filhos a 167% avg wage (proxy pra SWE sênior)</t>
  </si>
  <si>
    <t xml:space="preserve">https://www.oecd.org/tax/taxing-wages-19638374.htm</t>
  </si>
  <si>
    <t xml:space="preserve">Crítico pra calcular salário líquido a partir do bruto.</t>
  </si>
  <si>
    <t xml:space="preserve">KPMG-TAX</t>
  </si>
  <si>
    <t xml:space="preserve">KPMG Individual Income Tax Rates Table</t>
  </si>
  <si>
    <t xml:space="preserve">KPMG</t>
  </si>
  <si>
    <t xml:space="preserve">~150 países</t>
  </si>
  <si>
    <t xml:space="preserve">Atualização rolling</t>
  </si>
  <si>
    <t xml:space="preserve">Tabela web</t>
  </si>
  <si>
    <t xml:space="preserve">Atribuição</t>
  </si>
  <si>
    <t xml:space="preserve">Top marginal rate por país</t>
  </si>
  <si>
    <t xml:space="preserve">https://kpmg.com/xx/en/our-insights/tax-and-legal/income-tax.html</t>
  </si>
  <si>
    <t xml:space="preserve">Backup pra países fora da OECD.</t>
  </si>
  <si>
    <t xml:space="preserve">IMF-WEO-2025</t>
  </si>
  <si>
    <t xml:space="preserve">World Economic Outlook (Apr 2025)</t>
  </si>
  <si>
    <t xml:space="preserve">IMF</t>
  </si>
  <si>
    <t xml:space="preserve">MACRO</t>
  </si>
  <si>
    <t xml:space="preserve">190+ países</t>
  </si>
  <si>
    <t xml:space="preserve">2025-04</t>
  </si>
  <si>
    <t xml:space="preserve">Semestral</t>
  </si>
  <si>
    <t xml:space="preserve">Excel + API</t>
  </si>
  <si>
    <t xml:space="preserve">Aberto</t>
  </si>
  <si>
    <t xml:space="preserve">GDP growth, inflation projection 2025-2030, unemployment, current account</t>
  </si>
  <si>
    <t xml:space="preserve">https://www.imf.org/en/Publications/WEO</t>
  </si>
  <si>
    <t xml:space="preserve">Projeções até 2030. Essencial pra dimensão MACRO.</t>
  </si>
  <si>
    <t xml:space="preserve">WB-WGI</t>
  </si>
  <si>
    <t xml:space="preserve">Worldwide Governance Indicators</t>
  </si>
  <si>
    <t xml:space="preserve">214 países</t>
  </si>
  <si>
    <t xml:space="preserve">Voice &amp; Accountability, Political Stability, Government Effectiveness, Regulatory Quality, Rule of Law, Control of Corruption</t>
  </si>
  <si>
    <t xml:space="preserve">https://www.worldbank.org/en/publication/worldwide-governance-indicators</t>
  </si>
  <si>
    <t xml:space="preserve">Seis indicadores. Rule of Law e Control of Corruption são os mais relevantes pra expat SWE.</t>
  </si>
  <si>
    <t xml:space="preserve">GPI-2025</t>
  </si>
  <si>
    <t xml:space="preserve">Global Peace Index 2025</t>
  </si>
  <si>
    <t xml:space="preserve">Institute for Economics &amp; Peace</t>
  </si>
  <si>
    <t xml:space="preserve">163 países</t>
  </si>
  <si>
    <t xml:space="preserve">CC BY-NC</t>
  </si>
  <si>
    <t xml:space="preserve">GPI score; safety/security, ongoing conflict, militarisation</t>
  </si>
  <si>
    <t xml:space="preserve">https://www.economicsandpeace.org/global-peace-index/</t>
  </si>
  <si>
    <t xml:space="preserve">Boa cobertura. Use score composto + 'safety/security' sub-pilar.</t>
  </si>
  <si>
    <t xml:space="preserve">FSI-2024</t>
  </si>
  <si>
    <t xml:space="preserve">Fragile States Index 2024</t>
  </si>
  <si>
    <t xml:space="preserve">Fund for Peace</t>
  </si>
  <si>
    <t xml:space="preserve">179 países</t>
  </si>
  <si>
    <t xml:space="preserve">Excel + CSV</t>
  </si>
  <si>
    <t xml:space="preserve">FSI total; cohesion, economic, political, social indicators</t>
  </si>
  <si>
    <t xml:space="preserve">https://fragilestatesindex.org/</t>
  </si>
  <si>
    <t xml:space="preserve">Redundante com WGI em parte. Manter só se WGI tiver gaps.</t>
  </si>
  <si>
    <t xml:space="preserve">EIU-DI-2024</t>
  </si>
  <si>
    <t xml:space="preserve">Democracy Index 2024</t>
  </si>
  <si>
    <t xml:space="preserve">Economist Intelligence Unit</t>
  </si>
  <si>
    <t xml:space="preserve">167 países</t>
  </si>
  <si>
    <t xml:space="preserve">2025-02</t>
  </si>
  <si>
    <t xml:space="preserve">PDF (paywall pro Excel)</t>
  </si>
  <si>
    <t xml:space="preserve">Não (PDF público, dataset pago)</t>
  </si>
  <si>
    <t xml:space="preserve">Democracy score; electoral, functioning, participation, culture, civil liberties</t>
  </si>
  <si>
    <t xml:space="preserve">https://www.eiu.com/topic/democracy-index</t>
  </si>
  <si>
    <t xml:space="preserve">Score público no PDF. Parsing manual dos 167 países é viável.</t>
  </si>
  <si>
    <t xml:space="preserve">WB-DOING-BUSINESS</t>
  </si>
  <si>
    <t xml:space="preserve">World Bank B-READY (sucessor do Doing Business)</t>
  </si>
  <si>
    <t xml:space="preserve">50 economias (piloto 2024)</t>
  </si>
  <si>
    <t xml:space="preserve">2024-10</t>
  </si>
  <si>
    <t xml:space="preserve">Regulatory framework, public services, operational efficiency</t>
  </si>
  <si>
    <t xml:space="preserve">https://www.worldbank.org/en/businessready</t>
  </si>
  <si>
    <t xml:space="preserve">Ainda em rampa. Cobertura limitada vs. ranges globais.</t>
  </si>
  <si>
    <t xml:space="preserve">EXPAT-INSIDER-2024</t>
  </si>
  <si>
    <t xml:space="preserve">Expat Insider 2024</t>
  </si>
  <si>
    <t xml:space="preserve">InterNations</t>
  </si>
  <si>
    <t xml:space="preserve">META + VISA</t>
  </si>
  <si>
    <t xml:space="preserve">53 países (com N&gt;=50 expats)</t>
  </si>
  <si>
    <t xml:space="preserve">2024-05</t>
  </si>
  <si>
    <t xml:space="preserve">Site + PDF resumo</t>
  </si>
  <si>
    <t xml:space="preserve">Quality of life, ease of settling, working abroad, language, finance, expat essentials</t>
  </si>
  <si>
    <t xml:space="preserve">https://www.internations.org/expat-insider/</t>
  </si>
  <si>
    <t xml:space="preserve">Visão da experiência real do expat. Bom tiebreaker.</t>
  </si>
  <si>
    <t xml:space="preserve">HSBC-EXPAT</t>
  </si>
  <si>
    <t xml:space="preserve">HSBC Expat Explorer</t>
  </si>
  <si>
    <t xml:space="preserve">HSBC</t>
  </si>
  <si>
    <t xml:space="preserve">20-30 países</t>
  </si>
  <si>
    <t xml:space="preserve">2023 (última)</t>
  </si>
  <si>
    <t xml:space="preserve">PDF + tabelas</t>
  </si>
  <si>
    <t xml:space="preserve">Living, aspiring, family</t>
  </si>
  <si>
    <t xml:space="preserve">https://www.expatexplorer.hsbc.com/</t>
  </si>
  <si>
    <t xml:space="preserve">Cobertura limitada. Pular se Expat Insider já cobrir.</t>
  </si>
  <si>
    <t xml:space="preserve">EF-EPI-2024</t>
  </si>
  <si>
    <t xml:space="preserve">EF English Proficiency Index 2024</t>
  </si>
  <si>
    <t xml:space="preserve">Education First</t>
  </si>
  <si>
    <t xml:space="preserve">116 países</t>
  </si>
  <si>
    <t xml:space="preserve">PDF + tabela web</t>
  </si>
  <si>
    <t xml:space="preserve">EPI score (CEFR proxy)</t>
  </si>
  <si>
    <t xml:space="preserve">https://www.ef.com/wwen/epi/</t>
  </si>
  <si>
    <t xml:space="preserve">Importante: SWE BR sem inglês fluente fica restrito a PT-speaking ou país onde inglês basta no trabalho.</t>
  </si>
  <si>
    <t xml:space="preserve">NOMAD-LIST</t>
  </si>
  <si>
    <t xml:space="preserve">Nomad List country/city scores</t>
  </si>
  <si>
    <t xml:space="preserve">Nomad List</t>
  </si>
  <si>
    <t xml:space="preserve">TECH + PPP</t>
  </si>
  <si>
    <t xml:space="preserve">1000+ cidades</t>
  </si>
  <si>
    <t xml:space="preserve">Site (paywall parcial)</t>
  </si>
  <si>
    <t xml:space="preserve">Não (sem API pública)</t>
  </si>
  <si>
    <t xml:space="preserve">Comercial / ToS</t>
  </si>
  <si>
    <t xml:space="preserve">Internet speed, cost, safety, fun, weather, expat community</t>
  </si>
  <si>
    <t xml:space="preserve">https://nomadlist.com/</t>
  </si>
  <si>
    <t xml:space="preserve">Promovido pra Média prio: necessário pro modo remoto. Útil pra cross-check de DNV info.</t>
  </si>
  <si>
    <t xml:space="preserve">DNV-CATALOG</t>
  </si>
  <si>
    <t xml:space="preserve">Digital Nomad Visa Catalog (curadoria manual)</t>
  </si>
  <si>
    <t xml:space="preserve">Curadoria interna + sites oficiais</t>
  </si>
  <si>
    <t xml:space="preserve">VISA + PPP</t>
  </si>
  <si>
    <t xml:space="preserve">~50 países com DNV ativo</t>
  </si>
  <si>
    <t xml:space="preserve">2026 (manual)</t>
  </si>
  <si>
    <t xml:space="preserve">CSV manual</t>
  </si>
  <si>
    <t xml:space="preserve">Sim (gerado por nós)</t>
  </si>
  <si>
    <t xml:space="preserve">N/A (interno)</t>
  </si>
  <si>
    <t xml:space="preserve">has_dnv (bool), income_threshold_usd_month, max_stay_months, path_to_pr_years, family_inclusion</t>
  </si>
  <si>
    <t xml:space="preserve">https://nomadgate.com/digital-nomad-visas/ (referência cruzada)</t>
  </si>
  <si>
    <t xml:space="preserve">Curadoria manual obrigatória — nenhum dataset oficial agrega isso. ~50 linhas de input manual.</t>
  </si>
  <si>
    <t xml:space="preserve">EXPAT-TAX-REGIMES</t>
  </si>
  <si>
    <t xml:space="preserve">Regimes fiscais favoráveis a expats/remote</t>
  </si>
  <si>
    <t xml:space="preserve">Curadoria manual + KPMG + PwC</t>
  </si>
  <si>
    <t xml:space="preserve">~25 países com regime declarado</t>
  </si>
  <si>
    <t xml:space="preserve">Conforme reformas tributárias</t>
  </si>
  <si>
    <t xml:space="preserve">Sim (gerado)</t>
  </si>
  <si>
    <t xml:space="preserve">N/A</t>
  </si>
  <si>
    <t xml:space="preserve">regime_name (NHR, Beckham, IFICI, non-dom, lump-sum, IRPF reduzido), eligibility_years, effective_rate_on_foreign_income, applies_to_employed</t>
  </si>
  <si>
    <t xml:space="preserve">https://taxsummaries.pwc.com/</t>
  </si>
  <si>
    <t xml:space="preserve">Inclui Portugal (IFICI), Espanha (Beckham), Itália (€100k flat), Cyprus (non-dom), Malta (non-dom), Geórgia (1%), EAU (0%), etc.</t>
  </si>
  <si>
    <t xml:space="preserve">SPEEDTEST-GLOBAL</t>
  </si>
  <si>
    <t xml:space="preserve">Speedtest Global Index</t>
  </si>
  <si>
    <t xml:space="preserve">Ookla</t>
  </si>
  <si>
    <t xml:space="preserve">PPP + TECH</t>
  </si>
  <si>
    <t xml:space="preserve">180+ países</t>
  </si>
  <si>
    <t xml:space="preserve">2026 (mensal)</t>
  </si>
  <si>
    <t xml:space="preserve">Mensal</t>
  </si>
  <si>
    <t xml:space="preserve">Median fixed broadband download (Mbps); median mobile</t>
  </si>
  <si>
    <t xml:space="preserve">https://www.speedtest.net/global-index</t>
  </si>
  <si>
    <t xml:space="preserve">Crítico pra modo remoto — call de cliente em 4K precisa &gt;50 Mbps de upload estável.</t>
  </si>
  <si>
    <t xml:space="preserve">TIMEZONE-CALC</t>
  </si>
  <si>
    <t xml:space="preserve">Diferença de fuso para US East/West</t>
  </si>
  <si>
    <t xml:space="preserve">Cálculo geográfico</t>
  </si>
  <si>
    <t xml:space="preserve">TECH (modo remoto)</t>
  </si>
  <si>
    <t xml:space="preserve">190 países</t>
  </si>
  <si>
    <t xml:space="preserve">Estático</t>
  </si>
  <si>
    <t xml:space="preserve">—</t>
  </si>
  <si>
    <t xml:space="preserve">Calculado</t>
  </si>
  <si>
    <t xml:space="preserve">tz_offset_us_east, tz_offset_us_west, hours_overlap_business</t>
  </si>
  <si>
    <t xml:space="preserve">Pra modo remoto com cliente US, overlap de 4h+ é requisito de quase toda vaga.</t>
  </si>
  <si>
    <t xml:space="preserve">Total fontes</t>
  </si>
  <si>
    <t xml:space="preserve">Alta prioridade</t>
  </si>
  <si>
    <t xml:space="preserve">Média prioridade</t>
  </si>
  <si>
    <t xml:space="preserve">Baixa prioridade</t>
  </si>
  <si>
    <t xml:space="preserve">Fáceis de coletar</t>
  </si>
  <si>
    <t xml:space="preserve">META — Índice composto multi-dimensional</t>
  </si>
  <si>
    <t xml:space="preserve">TECH — Mercado de trabalho tech / salário</t>
  </si>
  <si>
    <t xml:space="preserve">VISA — Facilidade de visto / pathway</t>
  </si>
  <si>
    <t xml:space="preserve">PPP — Custo de vida / salário líquido em PPP</t>
  </si>
  <si>
    <t xml:space="preserve">MACRO — Estabilidade macro e segurança</t>
  </si>
  <si>
    <t xml:space="preserve">TOTAL (linhas únicas)</t>
  </si>
  <si>
    <t xml:space="preserve">Coluna</t>
  </si>
  <si>
    <t xml:space="preserve">Como ler</t>
  </si>
  <si>
    <t xml:space="preserve">META=composto, TECH=mercado tech, VISA=imigração, PPP=custo de vida &amp; impostos, MACRO=estabilidade &amp; segurança</t>
  </si>
  <si>
    <t xml:space="preserve">Cobertura</t>
  </si>
  <si>
    <t xml:space="preserve">Quantos países o dataset cobre. &lt;100 limita ranking global.</t>
  </si>
  <si>
    <t xml:space="preserve">Como o dado é publicado originalmente.</t>
  </si>
  <si>
    <t xml:space="preserve">Sim = extração programática trivial. Não = parsing/scraping/manual.</t>
  </si>
  <si>
    <t xml:space="preserve">CC BY = uso livre com atribuição. Comercial = pode haver restrição. ODbL = ok pra derivar.</t>
  </si>
  <si>
    <t xml:space="preserve">Fácil = baixar 1 arquivo; Médio = parsing PDF / múltiplas páginas; Difícil = scraping ou paywall.</t>
  </si>
  <si>
    <t xml:space="preserve">Alta = entra no MVP; Média = V2; Baixa = só se sobrar tempo.</t>
  </si>
  <si>
    <t xml:space="preserve">Próximo passo</t>
  </si>
  <si>
    <t xml:space="preserve">Validar este catálogo com o Guilherme antes de qualquer extração de dados.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</si>
</sst>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60"/>
    <col collapsed="false" customWidth="true" hidden="false" outlineLevel="0" max="14" min="14" style="0" width="50"/>
    <col collapsed="false" customWidth="true" hidden="false" outlineLevel="0" max="15" min="15" style="0" width="6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 t="s">
        <v>25</v>
      </c>
      <c r="L2" s="4" t="s">
        <v>26</v>
      </c>
      <c r="M2" s="2" t="s">
        <v>27</v>
      </c>
      <c r="N2" s="2" t="s">
        <v>28</v>
      </c>
      <c r="O2" s="2" t="s">
        <v>29</v>
      </c>
    </row>
    <row r="3" customFormat="false" ht="35.0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21</v>
      </c>
      <c r="H3" s="2" t="s">
        <v>36</v>
      </c>
      <c r="I3" s="2" t="s">
        <v>23</v>
      </c>
      <c r="J3" s="2" t="s">
        <v>24</v>
      </c>
      <c r="K3" s="3" t="s">
        <v>25</v>
      </c>
      <c r="L3" s="4" t="s">
        <v>26</v>
      </c>
      <c r="M3" s="2" t="s">
        <v>37</v>
      </c>
      <c r="N3" s="2" t="s">
        <v>38</v>
      </c>
      <c r="O3" s="2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s">
        <v>42</v>
      </c>
      <c r="D4" s="2" t="s">
        <v>18</v>
      </c>
      <c r="E4" s="2" t="s">
        <v>43</v>
      </c>
      <c r="F4" s="2" t="s">
        <v>44</v>
      </c>
      <c r="G4" s="2" t="s">
        <v>21</v>
      </c>
      <c r="H4" s="2" t="s">
        <v>45</v>
      </c>
      <c r="I4" s="2" t="s">
        <v>46</v>
      </c>
      <c r="J4" s="2" t="s">
        <v>47</v>
      </c>
      <c r="K4" s="3" t="s">
        <v>25</v>
      </c>
      <c r="L4" s="4" t="s">
        <v>26</v>
      </c>
      <c r="M4" s="2" t="s">
        <v>48</v>
      </c>
      <c r="N4" s="2" t="s">
        <v>49</v>
      </c>
      <c r="O4" s="2" t="s">
        <v>50</v>
      </c>
    </row>
    <row r="5" customFormat="false" ht="23.85" hidden="false" customHeight="false" outlineLevel="0" collapsed="false">
      <c r="A5" s="2" t="s">
        <v>51</v>
      </c>
      <c r="B5" s="2" t="s">
        <v>52</v>
      </c>
      <c r="C5" s="2" t="s">
        <v>53</v>
      </c>
      <c r="D5" s="2" t="s">
        <v>18</v>
      </c>
      <c r="E5" s="2" t="s">
        <v>54</v>
      </c>
      <c r="F5" s="2" t="s">
        <v>55</v>
      </c>
      <c r="G5" s="2" t="s">
        <v>21</v>
      </c>
      <c r="H5" s="2" t="s">
        <v>56</v>
      </c>
      <c r="I5" s="2" t="s">
        <v>57</v>
      </c>
      <c r="J5" s="2" t="s">
        <v>47</v>
      </c>
      <c r="K5" s="3" t="s">
        <v>25</v>
      </c>
      <c r="L5" s="5" t="s">
        <v>58</v>
      </c>
      <c r="M5" s="2" t="s">
        <v>59</v>
      </c>
      <c r="N5" s="2" t="s">
        <v>60</v>
      </c>
      <c r="O5" s="2" t="s">
        <v>61</v>
      </c>
    </row>
    <row r="6" customFormat="false" ht="23.85" hidden="false" customHeight="false" outlineLevel="0" collapsed="false">
      <c r="A6" s="2" t="s">
        <v>62</v>
      </c>
      <c r="B6" s="2" t="s">
        <v>63</v>
      </c>
      <c r="C6" s="2" t="s">
        <v>64</v>
      </c>
      <c r="D6" s="2" t="s">
        <v>18</v>
      </c>
      <c r="E6" s="2" t="s">
        <v>65</v>
      </c>
      <c r="F6" s="2" t="s">
        <v>66</v>
      </c>
      <c r="G6" s="2" t="s">
        <v>21</v>
      </c>
      <c r="H6" s="2" t="s">
        <v>67</v>
      </c>
      <c r="I6" s="2" t="s">
        <v>68</v>
      </c>
      <c r="J6" s="2" t="s">
        <v>69</v>
      </c>
      <c r="K6" s="3" t="s">
        <v>25</v>
      </c>
      <c r="L6" s="5" t="s">
        <v>58</v>
      </c>
      <c r="M6" s="2" t="s">
        <v>70</v>
      </c>
      <c r="N6" s="2" t="s">
        <v>71</v>
      </c>
      <c r="O6" s="2" t="s">
        <v>72</v>
      </c>
    </row>
    <row r="7" customFormat="false" ht="23.85" hidden="false" customHeight="false" outlineLevel="0" collapsed="false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21</v>
      </c>
      <c r="H7" s="2" t="s">
        <v>79</v>
      </c>
      <c r="I7" s="2" t="s">
        <v>80</v>
      </c>
      <c r="J7" s="2" t="s">
        <v>81</v>
      </c>
      <c r="K7" s="6" t="s">
        <v>82</v>
      </c>
      <c r="L7" s="4" t="s">
        <v>26</v>
      </c>
      <c r="M7" s="2" t="s">
        <v>83</v>
      </c>
      <c r="N7" s="2" t="s">
        <v>84</v>
      </c>
      <c r="O7" s="2" t="s">
        <v>85</v>
      </c>
    </row>
    <row r="8" customFormat="false" ht="23.85" hidden="false" customHeight="false" outlineLevel="0" collapsed="false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2" t="s">
        <v>94</v>
      </c>
      <c r="J8" s="2" t="s">
        <v>24</v>
      </c>
      <c r="K8" s="3" t="s">
        <v>25</v>
      </c>
      <c r="L8" s="4" t="s">
        <v>26</v>
      </c>
      <c r="M8" s="2" t="s">
        <v>95</v>
      </c>
      <c r="N8" s="2" t="s">
        <v>96</v>
      </c>
      <c r="O8" s="2" t="s">
        <v>97</v>
      </c>
    </row>
    <row r="9" customFormat="false" ht="35.05" hidden="false" customHeight="false" outlineLevel="0" collapsed="false">
      <c r="A9" s="2" t="s">
        <v>98</v>
      </c>
      <c r="B9" s="2" t="s">
        <v>99</v>
      </c>
      <c r="C9" s="2" t="s">
        <v>100</v>
      </c>
      <c r="D9" s="2" t="s">
        <v>89</v>
      </c>
      <c r="E9" s="2" t="s">
        <v>101</v>
      </c>
      <c r="F9" s="2" t="s">
        <v>20</v>
      </c>
      <c r="G9" s="2" t="s">
        <v>21</v>
      </c>
      <c r="H9" s="2" t="s">
        <v>102</v>
      </c>
      <c r="I9" s="2" t="s">
        <v>103</v>
      </c>
      <c r="J9" s="2" t="s">
        <v>104</v>
      </c>
      <c r="K9" s="7" t="s">
        <v>105</v>
      </c>
      <c r="L9" s="5" t="s">
        <v>58</v>
      </c>
      <c r="M9" s="2" t="s">
        <v>106</v>
      </c>
      <c r="N9" s="2" t="s">
        <v>107</v>
      </c>
      <c r="O9" s="2" t="s">
        <v>108</v>
      </c>
    </row>
    <row r="10" customFormat="false" ht="23.85" hidden="false" customHeight="false" outlineLevel="0" collapsed="false">
      <c r="A10" s="2" t="s">
        <v>109</v>
      </c>
      <c r="B10" s="2" t="s">
        <v>110</v>
      </c>
      <c r="C10" s="2" t="s">
        <v>111</v>
      </c>
      <c r="D10" s="2" t="s">
        <v>76</v>
      </c>
      <c r="E10" s="2" t="s">
        <v>112</v>
      </c>
      <c r="F10" s="2" t="s">
        <v>113</v>
      </c>
      <c r="G10" s="2" t="s">
        <v>114</v>
      </c>
      <c r="H10" s="2" t="s">
        <v>115</v>
      </c>
      <c r="I10" s="2" t="s">
        <v>116</v>
      </c>
      <c r="J10" s="2" t="s">
        <v>117</v>
      </c>
      <c r="K10" s="7" t="s">
        <v>105</v>
      </c>
      <c r="L10" s="5" t="s">
        <v>58</v>
      </c>
      <c r="M10" s="2" t="s">
        <v>118</v>
      </c>
      <c r="N10" s="2" t="s">
        <v>119</v>
      </c>
      <c r="O10" s="2" t="s">
        <v>120</v>
      </c>
    </row>
    <row r="11" customFormat="false" ht="23.85" hidden="false" customHeight="false" outlineLevel="0" collapsed="false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93</v>
      </c>
      <c r="I11" s="2" t="s">
        <v>57</v>
      </c>
      <c r="J11" s="2" t="s">
        <v>47</v>
      </c>
      <c r="K11" s="3" t="s">
        <v>25</v>
      </c>
      <c r="L11" s="8" t="s">
        <v>128</v>
      </c>
      <c r="M11" s="2" t="s">
        <v>129</v>
      </c>
      <c r="N11" s="2" t="s">
        <v>130</v>
      </c>
      <c r="O11" s="2" t="s">
        <v>131</v>
      </c>
    </row>
    <row r="12" customFormat="false" ht="23.85" hidden="false" customHeight="false" outlineLevel="0" collapsed="false">
      <c r="A12" s="2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140</v>
      </c>
      <c r="J12" s="2" t="s">
        <v>141</v>
      </c>
      <c r="K12" s="6" t="s">
        <v>82</v>
      </c>
      <c r="L12" s="4" t="s">
        <v>26</v>
      </c>
      <c r="M12" s="2" t="s">
        <v>142</v>
      </c>
      <c r="N12" s="2" t="s">
        <v>143</v>
      </c>
      <c r="O12" s="2" t="s">
        <v>144</v>
      </c>
    </row>
    <row r="13" customFormat="false" ht="23.85" hidden="false" customHeight="false" outlineLevel="0" collapsed="false">
      <c r="A13" s="2" t="s">
        <v>145</v>
      </c>
      <c r="B13" s="2" t="s">
        <v>146</v>
      </c>
      <c r="C13" s="2" t="s">
        <v>64</v>
      </c>
      <c r="D13" s="2" t="s">
        <v>147</v>
      </c>
      <c r="E13" s="2" t="s">
        <v>148</v>
      </c>
      <c r="F13" s="2" t="s">
        <v>66</v>
      </c>
      <c r="G13" s="2" t="s">
        <v>21</v>
      </c>
      <c r="H13" s="2" t="s">
        <v>149</v>
      </c>
      <c r="I13" s="2" t="s">
        <v>68</v>
      </c>
      <c r="J13" s="2" t="s">
        <v>69</v>
      </c>
      <c r="K13" s="6" t="s">
        <v>82</v>
      </c>
      <c r="L13" s="4" t="s">
        <v>26</v>
      </c>
      <c r="M13" s="2" t="s">
        <v>150</v>
      </c>
      <c r="N13" s="2" t="s">
        <v>151</v>
      </c>
      <c r="O13" s="2" t="s">
        <v>152</v>
      </c>
    </row>
    <row r="14" customFormat="false" ht="23.85" hidden="false" customHeight="false" outlineLevel="0" collapsed="false">
      <c r="A14" s="2" t="s">
        <v>153</v>
      </c>
      <c r="B14" s="2" t="s">
        <v>154</v>
      </c>
      <c r="C14" s="2" t="s">
        <v>155</v>
      </c>
      <c r="D14" s="2" t="s">
        <v>135</v>
      </c>
      <c r="E14" s="2" t="s">
        <v>156</v>
      </c>
      <c r="F14" s="2" t="s">
        <v>157</v>
      </c>
      <c r="G14" s="2" t="s">
        <v>158</v>
      </c>
      <c r="H14" s="2" t="s">
        <v>159</v>
      </c>
      <c r="I14" s="2" t="s">
        <v>160</v>
      </c>
      <c r="J14" s="2" t="s">
        <v>161</v>
      </c>
      <c r="K14" s="6" t="s">
        <v>82</v>
      </c>
      <c r="L14" s="4" t="s">
        <v>26</v>
      </c>
      <c r="M14" s="2" t="s">
        <v>162</v>
      </c>
      <c r="N14" s="2" t="s">
        <v>163</v>
      </c>
      <c r="O14" s="2" t="s">
        <v>164</v>
      </c>
    </row>
    <row r="15" customFormat="false" ht="35.05" hidden="false" customHeight="false" outlineLevel="0" collapsed="false">
      <c r="A15" s="2" t="s">
        <v>165</v>
      </c>
      <c r="B15" s="2" t="s">
        <v>166</v>
      </c>
      <c r="C15" s="2" t="s">
        <v>167</v>
      </c>
      <c r="D15" s="2" t="s">
        <v>135</v>
      </c>
      <c r="E15" s="2" t="s">
        <v>168</v>
      </c>
      <c r="F15" s="2" t="s">
        <v>169</v>
      </c>
      <c r="G15" s="2" t="s">
        <v>158</v>
      </c>
      <c r="H15" s="2" t="s">
        <v>159</v>
      </c>
      <c r="I15" s="2" t="s">
        <v>170</v>
      </c>
      <c r="J15" s="2" t="s">
        <v>161</v>
      </c>
      <c r="K15" s="7" t="s">
        <v>105</v>
      </c>
      <c r="L15" s="4" t="s">
        <v>26</v>
      </c>
      <c r="M15" s="2" t="s">
        <v>171</v>
      </c>
      <c r="N15" s="2" t="s">
        <v>172</v>
      </c>
      <c r="O15" s="2" t="s">
        <v>173</v>
      </c>
    </row>
    <row r="16" customFormat="false" ht="23.85" hidden="false" customHeight="false" outlineLevel="0" collapsed="false">
      <c r="A16" s="2" t="s">
        <v>174</v>
      </c>
      <c r="B16" s="2" t="s">
        <v>175</v>
      </c>
      <c r="C16" s="2" t="s">
        <v>176</v>
      </c>
      <c r="D16" s="2" t="s">
        <v>177</v>
      </c>
      <c r="E16" s="2" t="s">
        <v>178</v>
      </c>
      <c r="F16" s="2" t="s">
        <v>179</v>
      </c>
      <c r="G16" s="2" t="s">
        <v>138</v>
      </c>
      <c r="H16" s="2" t="s">
        <v>180</v>
      </c>
      <c r="I16" s="2" t="s">
        <v>181</v>
      </c>
      <c r="J16" s="2" t="s">
        <v>182</v>
      </c>
      <c r="K16" s="6" t="s">
        <v>82</v>
      </c>
      <c r="L16" s="4" t="s">
        <v>26</v>
      </c>
      <c r="M16" s="2" t="s">
        <v>183</v>
      </c>
      <c r="N16" s="2" t="s">
        <v>184</v>
      </c>
      <c r="O16" s="2" t="s">
        <v>185</v>
      </c>
    </row>
    <row r="17" customFormat="false" ht="23.85" hidden="false" customHeight="false" outlineLevel="0" collapsed="false">
      <c r="A17" s="2" t="s">
        <v>186</v>
      </c>
      <c r="B17" s="2" t="s">
        <v>187</v>
      </c>
      <c r="C17" s="2" t="s">
        <v>188</v>
      </c>
      <c r="D17" s="2" t="s">
        <v>177</v>
      </c>
      <c r="E17" s="2" t="s">
        <v>189</v>
      </c>
      <c r="F17" s="2" t="s">
        <v>190</v>
      </c>
      <c r="G17" s="2" t="s">
        <v>21</v>
      </c>
      <c r="H17" s="2" t="s">
        <v>191</v>
      </c>
      <c r="I17" s="2" t="s">
        <v>192</v>
      </c>
      <c r="J17" s="2" t="s">
        <v>104</v>
      </c>
      <c r="K17" s="7" t="s">
        <v>105</v>
      </c>
      <c r="L17" s="8" t="s">
        <v>128</v>
      </c>
      <c r="M17" s="2" t="s">
        <v>193</v>
      </c>
      <c r="N17" s="2" t="s">
        <v>194</v>
      </c>
      <c r="O17" s="2" t="s">
        <v>195</v>
      </c>
    </row>
    <row r="18" customFormat="false" ht="23.85" hidden="false" customHeight="false" outlineLevel="0" collapsed="false">
      <c r="A18" s="2" t="s">
        <v>196</v>
      </c>
      <c r="B18" s="2" t="s">
        <v>197</v>
      </c>
      <c r="C18" s="2" t="s">
        <v>198</v>
      </c>
      <c r="D18" s="2" t="s">
        <v>199</v>
      </c>
      <c r="E18" s="2" t="s">
        <v>200</v>
      </c>
      <c r="F18" s="2" t="s">
        <v>201</v>
      </c>
      <c r="G18" s="2" t="s">
        <v>21</v>
      </c>
      <c r="H18" s="2" t="s">
        <v>202</v>
      </c>
      <c r="I18" s="2" t="s">
        <v>68</v>
      </c>
      <c r="J18" s="2" t="s">
        <v>47</v>
      </c>
      <c r="K18" s="3" t="s">
        <v>25</v>
      </c>
      <c r="L18" s="4" t="s">
        <v>26</v>
      </c>
      <c r="M18" s="2" t="s">
        <v>203</v>
      </c>
      <c r="N18" s="2" t="s">
        <v>204</v>
      </c>
      <c r="O18" s="2" t="s">
        <v>205</v>
      </c>
    </row>
    <row r="19" customFormat="false" ht="35.05" hidden="false" customHeight="false" outlineLevel="0" collapsed="false">
      <c r="A19" s="2" t="s">
        <v>206</v>
      </c>
      <c r="B19" s="2" t="s">
        <v>207</v>
      </c>
      <c r="C19" s="2" t="s">
        <v>64</v>
      </c>
      <c r="D19" s="2" t="s">
        <v>177</v>
      </c>
      <c r="E19" s="2" t="s">
        <v>208</v>
      </c>
      <c r="F19" s="2" t="s">
        <v>209</v>
      </c>
      <c r="G19" s="2" t="s">
        <v>21</v>
      </c>
      <c r="H19" s="2" t="s">
        <v>93</v>
      </c>
      <c r="I19" s="2" t="s">
        <v>57</v>
      </c>
      <c r="J19" s="2" t="s">
        <v>69</v>
      </c>
      <c r="K19" s="3" t="s">
        <v>25</v>
      </c>
      <c r="L19" s="4" t="s">
        <v>26</v>
      </c>
      <c r="M19" s="2" t="s">
        <v>210</v>
      </c>
      <c r="N19" s="2" t="s">
        <v>211</v>
      </c>
      <c r="O19" s="2" t="s">
        <v>212</v>
      </c>
    </row>
    <row r="20" customFormat="false" ht="23.85" hidden="false" customHeight="false" outlineLevel="0" collapsed="false">
      <c r="A20" s="2" t="s">
        <v>213</v>
      </c>
      <c r="B20" s="2" t="s">
        <v>214</v>
      </c>
      <c r="C20" s="2" t="s">
        <v>215</v>
      </c>
      <c r="D20" s="2" t="s">
        <v>177</v>
      </c>
      <c r="E20" s="2" t="s">
        <v>216</v>
      </c>
      <c r="F20" s="2" t="s">
        <v>217</v>
      </c>
      <c r="G20" s="2" t="s">
        <v>21</v>
      </c>
      <c r="H20" s="2" t="s">
        <v>218</v>
      </c>
      <c r="I20" s="2" t="s">
        <v>23</v>
      </c>
      <c r="J20" s="2" t="s">
        <v>219</v>
      </c>
      <c r="K20" s="6" t="s">
        <v>82</v>
      </c>
      <c r="L20" s="5" t="s">
        <v>58</v>
      </c>
      <c r="M20" s="2" t="s">
        <v>220</v>
      </c>
      <c r="N20" s="2" t="s">
        <v>221</v>
      </c>
      <c r="O20" s="2" t="s">
        <v>222</v>
      </c>
    </row>
    <row r="21" customFormat="false" ht="23.85" hidden="false" customHeight="false" outlineLevel="0" collapsed="false">
      <c r="A21" s="2" t="s">
        <v>223</v>
      </c>
      <c r="B21" s="2" t="s">
        <v>224</v>
      </c>
      <c r="C21" s="2" t="s">
        <v>225</v>
      </c>
      <c r="D21" s="2" t="s">
        <v>226</v>
      </c>
      <c r="E21" s="2" t="s">
        <v>227</v>
      </c>
      <c r="F21" s="2" t="s">
        <v>228</v>
      </c>
      <c r="G21" s="2" t="s">
        <v>229</v>
      </c>
      <c r="H21" s="2" t="s">
        <v>230</v>
      </c>
      <c r="I21" s="2" t="s">
        <v>68</v>
      </c>
      <c r="J21" s="2" t="s">
        <v>231</v>
      </c>
      <c r="K21" s="3" t="s">
        <v>25</v>
      </c>
      <c r="L21" s="4" t="s">
        <v>26</v>
      </c>
      <c r="M21" s="2" t="s">
        <v>232</v>
      </c>
      <c r="N21" s="2" t="s">
        <v>233</v>
      </c>
      <c r="O21" s="2" t="s">
        <v>234</v>
      </c>
    </row>
    <row r="22" customFormat="false" ht="23.85" hidden="false" customHeight="false" outlineLevel="0" collapsed="false">
      <c r="A22" s="2" t="s">
        <v>235</v>
      </c>
      <c r="B22" s="2" t="s">
        <v>236</v>
      </c>
      <c r="C22" s="2" t="s">
        <v>198</v>
      </c>
      <c r="D22" s="2" t="s">
        <v>226</v>
      </c>
      <c r="E22" s="2" t="s">
        <v>237</v>
      </c>
      <c r="F22" s="2" t="s">
        <v>126</v>
      </c>
      <c r="G22" s="2" t="s">
        <v>21</v>
      </c>
      <c r="H22" s="2" t="s">
        <v>230</v>
      </c>
      <c r="I22" s="2" t="s">
        <v>68</v>
      </c>
      <c r="J22" s="2" t="s">
        <v>47</v>
      </c>
      <c r="K22" s="3" t="s">
        <v>25</v>
      </c>
      <c r="L22" s="4" t="s">
        <v>26</v>
      </c>
      <c r="M22" s="2" t="s">
        <v>238</v>
      </c>
      <c r="N22" s="2" t="s">
        <v>239</v>
      </c>
      <c r="O22" s="2" t="s">
        <v>240</v>
      </c>
    </row>
    <row r="23" customFormat="false" ht="23.85" hidden="false" customHeight="false" outlineLevel="0" collapsed="false">
      <c r="A23" s="2" t="s">
        <v>241</v>
      </c>
      <c r="B23" s="2" t="s">
        <v>242</v>
      </c>
      <c r="C23" s="2" t="s">
        <v>243</v>
      </c>
      <c r="D23" s="2" t="s">
        <v>226</v>
      </c>
      <c r="E23" s="2" t="s">
        <v>244</v>
      </c>
      <c r="F23" s="2" t="s">
        <v>190</v>
      </c>
      <c r="G23" s="2" t="s">
        <v>21</v>
      </c>
      <c r="H23" s="2" t="s">
        <v>93</v>
      </c>
      <c r="I23" s="2" t="s">
        <v>57</v>
      </c>
      <c r="J23" s="2" t="s">
        <v>245</v>
      </c>
      <c r="K23" s="3" t="s">
        <v>25</v>
      </c>
      <c r="L23" s="4" t="s">
        <v>26</v>
      </c>
      <c r="M23" s="2" t="s">
        <v>246</v>
      </c>
      <c r="N23" s="2" t="s">
        <v>247</v>
      </c>
      <c r="O23" s="2" t="s">
        <v>248</v>
      </c>
    </row>
    <row r="24" customFormat="false" ht="15" hidden="false" customHeight="false" outlineLevel="0" collapsed="false">
      <c r="A24" s="2" t="s">
        <v>249</v>
      </c>
      <c r="B24" s="2" t="s">
        <v>250</v>
      </c>
      <c r="C24" s="2" t="s">
        <v>251</v>
      </c>
      <c r="D24" s="2" t="s">
        <v>226</v>
      </c>
      <c r="E24" s="2" t="s">
        <v>252</v>
      </c>
      <c r="F24" s="2" t="s">
        <v>78</v>
      </c>
      <c r="G24" s="2" t="s">
        <v>21</v>
      </c>
      <c r="H24" s="2" t="s">
        <v>253</v>
      </c>
      <c r="I24" s="2" t="s">
        <v>57</v>
      </c>
      <c r="J24" s="2" t="s">
        <v>245</v>
      </c>
      <c r="K24" s="3" t="s">
        <v>25</v>
      </c>
      <c r="L24" s="5" t="s">
        <v>58</v>
      </c>
      <c r="M24" s="2" t="s">
        <v>254</v>
      </c>
      <c r="N24" s="2" t="s">
        <v>255</v>
      </c>
      <c r="O24" s="2" t="s">
        <v>256</v>
      </c>
    </row>
    <row r="25" customFormat="false" ht="23.85" hidden="false" customHeight="false" outlineLevel="0" collapsed="false">
      <c r="A25" s="2" t="s">
        <v>257</v>
      </c>
      <c r="B25" s="2" t="s">
        <v>258</v>
      </c>
      <c r="C25" s="2" t="s">
        <v>259</v>
      </c>
      <c r="D25" s="2" t="s">
        <v>226</v>
      </c>
      <c r="E25" s="2" t="s">
        <v>260</v>
      </c>
      <c r="F25" s="2" t="s">
        <v>261</v>
      </c>
      <c r="G25" s="2" t="s">
        <v>21</v>
      </c>
      <c r="H25" s="2" t="s">
        <v>262</v>
      </c>
      <c r="I25" s="2" t="s">
        <v>263</v>
      </c>
      <c r="J25" s="2" t="s">
        <v>104</v>
      </c>
      <c r="K25" s="6" t="s">
        <v>82</v>
      </c>
      <c r="L25" s="5" t="s">
        <v>58</v>
      </c>
      <c r="M25" s="2" t="s">
        <v>264</v>
      </c>
      <c r="N25" s="2" t="s">
        <v>265</v>
      </c>
      <c r="O25" s="2" t="s">
        <v>266</v>
      </c>
    </row>
    <row r="26" customFormat="false" ht="23.85" hidden="false" customHeight="false" outlineLevel="0" collapsed="false">
      <c r="A26" s="2" t="s">
        <v>267</v>
      </c>
      <c r="B26" s="2" t="s">
        <v>268</v>
      </c>
      <c r="C26" s="2" t="s">
        <v>198</v>
      </c>
      <c r="D26" s="2" t="s">
        <v>226</v>
      </c>
      <c r="E26" s="2" t="s">
        <v>269</v>
      </c>
      <c r="F26" s="2" t="s">
        <v>270</v>
      </c>
      <c r="G26" s="2" t="s">
        <v>21</v>
      </c>
      <c r="H26" s="2" t="s">
        <v>230</v>
      </c>
      <c r="I26" s="2" t="s">
        <v>57</v>
      </c>
      <c r="J26" s="2" t="s">
        <v>47</v>
      </c>
      <c r="K26" s="3" t="s">
        <v>25</v>
      </c>
      <c r="L26" s="8" t="s">
        <v>128</v>
      </c>
      <c r="M26" s="2" t="s">
        <v>271</v>
      </c>
      <c r="N26" s="2" t="s">
        <v>272</v>
      </c>
      <c r="O26" s="2" t="s">
        <v>273</v>
      </c>
    </row>
    <row r="27" customFormat="false" ht="35.05" hidden="false" customHeight="false" outlineLevel="0" collapsed="false">
      <c r="A27" s="2" t="s">
        <v>274</v>
      </c>
      <c r="B27" s="2" t="s">
        <v>275</v>
      </c>
      <c r="C27" s="2" t="s">
        <v>276</v>
      </c>
      <c r="D27" s="2" t="s">
        <v>277</v>
      </c>
      <c r="E27" s="2" t="s">
        <v>278</v>
      </c>
      <c r="F27" s="2" t="s">
        <v>279</v>
      </c>
      <c r="G27" s="2" t="s">
        <v>21</v>
      </c>
      <c r="H27" s="2" t="s">
        <v>280</v>
      </c>
      <c r="I27" s="2" t="s">
        <v>140</v>
      </c>
      <c r="J27" s="2" t="s">
        <v>219</v>
      </c>
      <c r="K27" s="6" t="s">
        <v>82</v>
      </c>
      <c r="L27" s="5" t="s">
        <v>58</v>
      </c>
      <c r="M27" s="2" t="s">
        <v>281</v>
      </c>
      <c r="N27" s="2" t="s">
        <v>282</v>
      </c>
      <c r="O27" s="2" t="s">
        <v>283</v>
      </c>
    </row>
    <row r="28" customFormat="false" ht="23.85" hidden="false" customHeight="false" outlineLevel="0" collapsed="false">
      <c r="A28" s="2" t="s">
        <v>284</v>
      </c>
      <c r="B28" s="2" t="s">
        <v>285</v>
      </c>
      <c r="C28" s="2" t="s">
        <v>286</v>
      </c>
      <c r="D28" s="2" t="s">
        <v>18</v>
      </c>
      <c r="E28" s="2" t="s">
        <v>287</v>
      </c>
      <c r="F28" s="2" t="s">
        <v>288</v>
      </c>
      <c r="G28" s="2" t="s">
        <v>169</v>
      </c>
      <c r="H28" s="2" t="s">
        <v>289</v>
      </c>
      <c r="I28" s="2" t="s">
        <v>170</v>
      </c>
      <c r="J28" s="2" t="s">
        <v>219</v>
      </c>
      <c r="K28" s="6" t="s">
        <v>82</v>
      </c>
      <c r="L28" s="8" t="s">
        <v>128</v>
      </c>
      <c r="M28" s="2" t="s">
        <v>290</v>
      </c>
      <c r="N28" s="2" t="s">
        <v>291</v>
      </c>
      <c r="O28" s="2" t="s">
        <v>292</v>
      </c>
    </row>
    <row r="29" customFormat="false" ht="23.85" hidden="false" customHeight="false" outlineLevel="0" collapsed="false">
      <c r="A29" s="2" t="s">
        <v>293</v>
      </c>
      <c r="B29" s="2" t="s">
        <v>294</v>
      </c>
      <c r="C29" s="2" t="s">
        <v>295</v>
      </c>
      <c r="D29" s="2" t="s">
        <v>135</v>
      </c>
      <c r="E29" s="2" t="s">
        <v>296</v>
      </c>
      <c r="F29" s="2" t="s">
        <v>66</v>
      </c>
      <c r="G29" s="2" t="s">
        <v>21</v>
      </c>
      <c r="H29" s="2" t="s">
        <v>297</v>
      </c>
      <c r="I29" s="2" t="s">
        <v>23</v>
      </c>
      <c r="J29" s="2" t="s">
        <v>219</v>
      </c>
      <c r="K29" s="3" t="s">
        <v>25</v>
      </c>
      <c r="L29" s="5" t="s">
        <v>58</v>
      </c>
      <c r="M29" s="2" t="s">
        <v>298</v>
      </c>
      <c r="N29" s="2" t="s">
        <v>299</v>
      </c>
      <c r="O29" s="2" t="s">
        <v>300</v>
      </c>
    </row>
    <row r="30" customFormat="false" ht="23.85" hidden="false" customHeight="false" outlineLevel="0" collapsed="false">
      <c r="A30" s="2" t="s">
        <v>301</v>
      </c>
      <c r="B30" s="2" t="s">
        <v>302</v>
      </c>
      <c r="C30" s="2" t="s">
        <v>303</v>
      </c>
      <c r="D30" s="2" t="s">
        <v>304</v>
      </c>
      <c r="E30" s="2" t="s">
        <v>305</v>
      </c>
      <c r="F30" s="2" t="s">
        <v>114</v>
      </c>
      <c r="G30" s="2" t="s">
        <v>114</v>
      </c>
      <c r="H30" s="2" t="s">
        <v>306</v>
      </c>
      <c r="I30" s="2" t="s">
        <v>307</v>
      </c>
      <c r="J30" s="2" t="s">
        <v>308</v>
      </c>
      <c r="K30" s="7" t="s">
        <v>105</v>
      </c>
      <c r="L30" s="5" t="s">
        <v>58</v>
      </c>
      <c r="M30" s="2" t="s">
        <v>309</v>
      </c>
      <c r="N30" s="2" t="s">
        <v>310</v>
      </c>
      <c r="O30" s="2" t="s">
        <v>311</v>
      </c>
    </row>
    <row r="31" customFormat="false" ht="23.85" hidden="false" customHeight="false" outlineLevel="0" collapsed="false">
      <c r="A31" s="2" t="s">
        <v>312</v>
      </c>
      <c r="B31" s="2" t="s">
        <v>313</v>
      </c>
      <c r="C31" s="2" t="s">
        <v>314</v>
      </c>
      <c r="D31" s="2" t="s">
        <v>315</v>
      </c>
      <c r="E31" s="2" t="s">
        <v>316</v>
      </c>
      <c r="F31" s="2" t="s">
        <v>317</v>
      </c>
      <c r="G31" s="2" t="s">
        <v>158</v>
      </c>
      <c r="H31" s="2" t="s">
        <v>318</v>
      </c>
      <c r="I31" s="2" t="s">
        <v>319</v>
      </c>
      <c r="J31" s="2" t="s">
        <v>320</v>
      </c>
      <c r="K31" s="6" t="s">
        <v>82</v>
      </c>
      <c r="L31" s="4" t="s">
        <v>26</v>
      </c>
      <c r="M31" s="2" t="s">
        <v>321</v>
      </c>
      <c r="N31" s="2" t="s">
        <v>322</v>
      </c>
      <c r="O31" s="2" t="s">
        <v>323</v>
      </c>
    </row>
    <row r="32" customFormat="false" ht="35.05" hidden="false" customHeight="false" outlineLevel="0" collapsed="false">
      <c r="A32" s="2" t="s">
        <v>324</v>
      </c>
      <c r="B32" s="2" t="s">
        <v>325</v>
      </c>
      <c r="C32" s="2" t="s">
        <v>326</v>
      </c>
      <c r="D32" s="2" t="s">
        <v>177</v>
      </c>
      <c r="E32" s="2" t="s">
        <v>327</v>
      </c>
      <c r="F32" s="2" t="s">
        <v>317</v>
      </c>
      <c r="G32" s="2" t="s">
        <v>328</v>
      </c>
      <c r="H32" s="2" t="s">
        <v>318</v>
      </c>
      <c r="I32" s="2" t="s">
        <v>329</v>
      </c>
      <c r="J32" s="2" t="s">
        <v>330</v>
      </c>
      <c r="K32" s="6" t="s">
        <v>82</v>
      </c>
      <c r="L32" s="4" t="s">
        <v>26</v>
      </c>
      <c r="M32" s="2" t="s">
        <v>331</v>
      </c>
      <c r="N32" s="2" t="s">
        <v>332</v>
      </c>
      <c r="O32" s="2" t="s">
        <v>333</v>
      </c>
    </row>
    <row r="33" customFormat="false" ht="23.85" hidden="false" customHeight="false" outlineLevel="0" collapsed="false">
      <c r="A33" s="2" t="s">
        <v>334</v>
      </c>
      <c r="B33" s="2" t="s">
        <v>335</v>
      </c>
      <c r="C33" s="2" t="s">
        <v>336</v>
      </c>
      <c r="D33" s="2" t="s">
        <v>337</v>
      </c>
      <c r="E33" s="2" t="s">
        <v>338</v>
      </c>
      <c r="F33" s="2" t="s">
        <v>339</v>
      </c>
      <c r="G33" s="2" t="s">
        <v>340</v>
      </c>
      <c r="H33" s="2" t="s">
        <v>218</v>
      </c>
      <c r="I33" s="2" t="s">
        <v>23</v>
      </c>
      <c r="J33" s="2" t="s">
        <v>219</v>
      </c>
      <c r="K33" s="3" t="s">
        <v>25</v>
      </c>
      <c r="L33" s="5" t="s">
        <v>58</v>
      </c>
      <c r="M33" s="2" t="s">
        <v>341</v>
      </c>
      <c r="N33" s="2" t="s">
        <v>342</v>
      </c>
      <c r="O33" s="2" t="s">
        <v>343</v>
      </c>
    </row>
    <row r="34" customFormat="false" ht="23.85" hidden="false" customHeight="false" outlineLevel="0" collapsed="false">
      <c r="A34" s="2" t="s">
        <v>344</v>
      </c>
      <c r="B34" s="2" t="s">
        <v>345</v>
      </c>
      <c r="C34" s="2" t="s">
        <v>346</v>
      </c>
      <c r="D34" s="2" t="s">
        <v>347</v>
      </c>
      <c r="E34" s="2" t="s">
        <v>348</v>
      </c>
      <c r="F34" s="2" t="s">
        <v>349</v>
      </c>
      <c r="G34" s="2" t="s">
        <v>350</v>
      </c>
      <c r="H34" s="2" t="s">
        <v>351</v>
      </c>
      <c r="I34" s="2" t="s">
        <v>57</v>
      </c>
      <c r="J34" s="2" t="s">
        <v>330</v>
      </c>
      <c r="K34" s="3" t="s">
        <v>25</v>
      </c>
      <c r="L34" s="5" t="s">
        <v>58</v>
      </c>
      <c r="M34" s="2" t="s">
        <v>352</v>
      </c>
      <c r="N34" s="2" t="s">
        <v>350</v>
      </c>
      <c r="O34" s="2" t="s">
        <v>353</v>
      </c>
    </row>
  </sheetData>
  <autoFilter ref="A1:O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customFormat="false" ht="15" hidden="false" customHeight="false" outlineLevel="0" collapsed="false">
      <c r="A2" s="9" t="s">
        <v>359</v>
      </c>
      <c r="B2" s="9" t="n">
        <f aca="false">COUNTIF(Catalogo!D2:D34,"*META*")</f>
        <v>7</v>
      </c>
      <c r="C2" s="9" t="n">
        <f aca="false">COUNTIFS(Catalogo!D2:D34,"*META*",Catalogo!L2:L34,"Alta")</f>
        <v>3</v>
      </c>
      <c r="D2" s="9" t="n">
        <f aca="false">COUNTIFS(Catalogo!D2:D34,"*META*",Catalogo!L2:L34,"Média")</f>
        <v>3</v>
      </c>
      <c r="E2" s="9" t="n">
        <f aca="false">COUNTIFS(Catalogo!D2:D34,"*META*",Catalogo!L2:L34,"Baixa")</f>
        <v>1</v>
      </c>
      <c r="F2" s="9" t="n">
        <f aca="false">COUNTIFS(Catalogo!D2:D34,"*META*",Catalogo!K2:K34,"Fácil")</f>
        <v>5</v>
      </c>
    </row>
    <row r="3" customFormat="false" ht="15" hidden="false" customHeight="false" outlineLevel="0" collapsed="false">
      <c r="A3" s="9" t="s">
        <v>360</v>
      </c>
      <c r="B3" s="9" t="n">
        <f aca="false">COUNTIF(Catalogo!D2:D34,"*TECH*")</f>
        <v>8</v>
      </c>
      <c r="C3" s="9" t="n">
        <f aca="false">COUNTIFS(Catalogo!D2:D34,"*TECH*",Catalogo!L2:L34,"Alta")</f>
        <v>2</v>
      </c>
      <c r="D3" s="9" t="n">
        <f aca="false">COUNTIFS(Catalogo!D2:D34,"*TECH*",Catalogo!L2:L34,"Média")</f>
        <v>5</v>
      </c>
      <c r="E3" s="9" t="n">
        <f aca="false">COUNTIFS(Catalogo!D2:D34,"*TECH*",Catalogo!L2:L34,"Baixa")</f>
        <v>1</v>
      </c>
      <c r="F3" s="9" t="n">
        <f aca="false">COUNTIFS(Catalogo!D2:D34,"*TECH*",Catalogo!K2:K34,"Fácil")</f>
        <v>4</v>
      </c>
    </row>
    <row r="4" customFormat="false" ht="15" hidden="false" customHeight="false" outlineLevel="0" collapsed="false">
      <c r="A4" s="9" t="s">
        <v>361</v>
      </c>
      <c r="B4" s="9" t="n">
        <f aca="false">COUNTIF(Catalogo!D2:D34,"*VISA*")</f>
        <v>9</v>
      </c>
      <c r="C4" s="9" t="n">
        <f aca="false">COUNTIFS(Catalogo!D2:D34,"*VISA*",Catalogo!L2:L34,"Alta")</f>
        <v>6</v>
      </c>
      <c r="D4" s="9" t="n">
        <f aca="false">COUNTIFS(Catalogo!D2:D34,"*VISA*",Catalogo!L2:L34,"Média")</f>
        <v>3</v>
      </c>
      <c r="E4" s="9" t="n">
        <f aca="false">COUNTIFS(Catalogo!D2:D34,"*VISA*",Catalogo!L2:L34,"Baixa")</f>
        <v>0</v>
      </c>
      <c r="F4" s="9" t="n">
        <f aca="false">COUNTIFS(Catalogo!D2:D34,"*VISA*",Catalogo!K2:K34,"Fácil")</f>
        <v>2</v>
      </c>
    </row>
    <row r="5" customFormat="false" ht="15" hidden="false" customHeight="false" outlineLevel="0" collapsed="false">
      <c r="A5" s="9" t="s">
        <v>362</v>
      </c>
      <c r="B5" s="9" t="n">
        <f aca="false">COUNTIF(Catalogo!D2:D34,"*PPP*")</f>
        <v>9</v>
      </c>
      <c r="C5" s="9" t="n">
        <f aca="false">COUNTIFS(Catalogo!D2:D34,"*PPP*",Catalogo!L2:L34,"Alta")</f>
        <v>5</v>
      </c>
      <c r="D5" s="9" t="n">
        <f aca="false">COUNTIFS(Catalogo!D2:D34,"*PPP*",Catalogo!L2:L34,"Média")</f>
        <v>3</v>
      </c>
      <c r="E5" s="9" t="n">
        <f aca="false">COUNTIFS(Catalogo!D2:D34,"*PPP*",Catalogo!L2:L34,"Baixa")</f>
        <v>1</v>
      </c>
      <c r="F5" s="9" t="n">
        <f aca="false">COUNTIFS(Catalogo!D2:D34,"*PPP*",Catalogo!K2:K34,"Fácil")</f>
        <v>3</v>
      </c>
    </row>
    <row r="6" customFormat="false" ht="15" hidden="false" customHeight="false" outlineLevel="0" collapsed="false">
      <c r="A6" s="9" t="s">
        <v>363</v>
      </c>
      <c r="B6" s="9" t="n">
        <f aca="false">COUNTIF(Catalogo!D2:D34,"*MACRO*")</f>
        <v>10</v>
      </c>
      <c r="C6" s="9" t="n">
        <f aca="false">COUNTIFS(Catalogo!D2:D34,"*MACRO*",Catalogo!L2:L34,"Alta")</f>
        <v>6</v>
      </c>
      <c r="D6" s="9" t="n">
        <f aca="false">COUNTIFS(Catalogo!D2:D34,"*MACRO*",Catalogo!L2:L34,"Média")</f>
        <v>2</v>
      </c>
      <c r="E6" s="9" t="n">
        <f aca="false">COUNTIFS(Catalogo!D2:D34,"*MACRO*",Catalogo!L2:L34,"Baixa")</f>
        <v>2</v>
      </c>
      <c r="F6" s="9" t="n">
        <f aca="false">COUNTIFS(Catalogo!D2:D34,"*MACRO*",Catalogo!K2:K34,"Fácil")</f>
        <v>8</v>
      </c>
    </row>
    <row r="7" customFormat="false" ht="15" hidden="false" customHeight="false" outlineLevel="0" collapsed="false">
      <c r="A7" s="10" t="s">
        <v>364</v>
      </c>
      <c r="B7" s="10" t="n">
        <f aca="false">COUNTA(Catalogo!A2:A34)</f>
        <v>33</v>
      </c>
      <c r="C7" s="10" t="n">
        <f aca="false">COUNTIF(Catalogo!L2:L34,"Alta")</f>
        <v>17</v>
      </c>
      <c r="D7" s="10" t="n">
        <f aca="false">COUNTIF(Catalogo!L2:L34,"Média")</f>
        <v>12</v>
      </c>
      <c r="E7" s="10" t="n">
        <f aca="false">COUNTIF(Catalogo!L2:L34,"Baixa")</f>
        <v>4</v>
      </c>
      <c r="F7" s="10" t="n">
        <f aca="false">COUNTIF(Catalogo!K2:K34,"Fácil")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365</v>
      </c>
      <c r="B1" s="11" t="s">
        <v>366</v>
      </c>
    </row>
    <row r="2" customFormat="false" ht="23.85" hidden="false" customHeight="false" outlineLevel="0" collapsed="false">
      <c r="A2" s="2" t="s">
        <v>3</v>
      </c>
      <c r="B2" s="2" t="s">
        <v>367</v>
      </c>
    </row>
    <row r="3" customFormat="false" ht="15" hidden="false" customHeight="false" outlineLevel="0" collapsed="false">
      <c r="A3" s="2" t="s">
        <v>368</v>
      </c>
      <c r="B3" s="2" t="s">
        <v>369</v>
      </c>
    </row>
    <row r="4" customFormat="false" ht="15" hidden="false" customHeight="false" outlineLevel="0" collapsed="false">
      <c r="A4" s="2" t="s">
        <v>7</v>
      </c>
      <c r="B4" s="2" t="s">
        <v>370</v>
      </c>
    </row>
    <row r="5" customFormat="false" ht="15" hidden="false" customHeight="false" outlineLevel="0" collapsed="false">
      <c r="A5" s="2" t="s">
        <v>8</v>
      </c>
      <c r="B5" s="2" t="s">
        <v>371</v>
      </c>
    </row>
    <row r="6" customFormat="false" ht="15" hidden="false" customHeight="false" outlineLevel="0" collapsed="false">
      <c r="A6" s="2" t="s">
        <v>9</v>
      </c>
      <c r="B6" s="2" t="s">
        <v>372</v>
      </c>
    </row>
    <row r="7" customFormat="false" ht="15" hidden="false" customHeight="false" outlineLevel="0" collapsed="false">
      <c r="A7" s="2" t="s">
        <v>10</v>
      </c>
      <c r="B7" s="2" t="s">
        <v>373</v>
      </c>
    </row>
    <row r="8" customFormat="false" ht="15" hidden="false" customHeight="false" outlineLevel="0" collapsed="false">
      <c r="A8" s="2" t="s">
        <v>11</v>
      </c>
      <c r="B8" s="2" t="s">
        <v>374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 t="s">
        <v>375</v>
      </c>
      <c r="B10" s="2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2026-05-04T12:52:22Z</dcterms:created>
  <dc:creator>openpyxl</dc:creator>
  <dc:description/>
  <dc:language>en-US</dc:language>
  <cp:lastModifiedBy/>
  <dcterms:modified xsi:type="dcterms:W3CDTF">2026-05-04T12:52:22Z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